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-120" yWindow="-120" windowWidth="21840" windowHeight="131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4" i="1"/>
  <c r="M3" i="1"/>
  <c r="K4" i="1"/>
  <c r="K5" i="1"/>
  <c r="K6" i="1"/>
  <c r="K7" i="1"/>
  <c r="K8" i="1"/>
  <c r="K9" i="1"/>
  <c r="K10" i="1"/>
  <c r="K11" i="1"/>
  <c r="K3" i="1"/>
  <c r="I4" i="1"/>
  <c r="I5" i="1"/>
  <c r="I6" i="1"/>
  <c r="I7" i="1"/>
  <c r="I8" i="1"/>
  <c r="I9" i="1"/>
  <c r="I10" i="1"/>
  <c r="I11" i="1"/>
  <c r="I3" i="1"/>
  <c r="J4" i="1" l="1"/>
  <c r="J5" i="1"/>
  <c r="J6" i="1"/>
  <c r="J7" i="1"/>
  <c r="J8" i="1"/>
  <c r="J9" i="1"/>
  <c r="J10" i="1"/>
  <c r="J11" i="1"/>
  <c r="J3" i="1"/>
</calcChain>
</file>

<file path=xl/sharedStrings.xml><?xml version="1.0" encoding="utf-8"?>
<sst xmlns="http://schemas.openxmlformats.org/spreadsheetml/2006/main" count="53" uniqueCount="31">
  <si>
    <t>STT</t>
  </si>
  <si>
    <t>LOẠI THANG MÁY</t>
  </si>
  <si>
    <t>TẢI TRỌNG</t>
  </si>
  <si>
    <t xml:space="preserve">TỐC ĐỘ </t>
  </si>
  <si>
    <t>SỐ TẦNG</t>
  </si>
  <si>
    <t>CÔNG LẮP+KĐ</t>
  </si>
  <si>
    <t>GIÁ THANG</t>
  </si>
  <si>
    <t>Thang máy tải khách</t>
  </si>
  <si>
    <t>350 kg</t>
  </si>
  <si>
    <t>60/p (1m/s)</t>
  </si>
  <si>
    <t>04 stop</t>
  </si>
  <si>
    <t>450 kg</t>
  </si>
  <si>
    <t>05 stop</t>
  </si>
  <si>
    <t>630 kg</t>
  </si>
  <si>
    <t>90/p (1.5m/s)</t>
  </si>
  <si>
    <t>Thang máy hàng (kèm người)</t>
  </si>
  <si>
    <t>1000 kg</t>
  </si>
  <si>
    <t>30/p (0.5m/s)</t>
  </si>
  <si>
    <t>03 stop</t>
  </si>
  <si>
    <t>1500 kg</t>
  </si>
  <si>
    <t>Thang máy hàng, ô tô (thuỷ lực)</t>
  </si>
  <si>
    <t>2000 - 3000 kg</t>
  </si>
  <si>
    <t>Bảo trì 2 năm</t>
  </si>
  <si>
    <t>Giá bán lẻ thị trường</t>
  </si>
  <si>
    <t>Lãi/1 cây thang</t>
  </si>
  <si>
    <t>3 % hoa hồng</t>
  </si>
  <si>
    <t>Giá mua tăng 1 tầng</t>
  </si>
  <si>
    <t>Giá mua giảm 1 tầng</t>
  </si>
  <si>
    <t>VNĐ/tầng</t>
  </si>
  <si>
    <t xml:space="preserve">Tổng </t>
  </si>
  <si>
    <t>Tổng tiền/cây 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</si>
</sst>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/>
    <xf numFmtId="3" fontId="3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3" fontId="4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/>
    <xf numFmtId="3" fontId="0" fillId="0" borderId="2" xfId="0" applyNumberFormat="1" applyFill="1" applyBorder="1"/>
    <xf numFmtId="3" fontId="0" fillId="0" borderId="3" xfId="0" applyNumberFormat="1" applyFill="1" applyBorder="1"/>
    <xf numFmtId="3" fontId="4" fillId="0" borderId="1" xfId="0" applyNumberFormat="1" applyFont="1" applyFill="1" applyBorder="1" applyAlignment="1">
      <alignment horizontal="right" vertical="center" wrapText="1"/>
    </xf>
    <xf numFmtId="3" fontId="2" fillId="0" borderId="0" xfId="0" applyNumberFormat="1" applyFont="1" applyFill="1" applyAlignment="1">
      <alignment horizontal="right"/>
    </xf>
    <xf numFmtId="0" fontId="1" fillId="0" borderId="0" xfId="0" applyFont="1" applyFill="1" applyBorder="1" applyAlignment="1">
      <alignment vertical="center" wrapText="1"/>
    </xf>
    <xf numFmtId="3" fontId="1" fillId="0" borderId="0" xfId="0" applyNumberFormat="1" applyFont="1" applyFill="1" applyBorder="1" applyAlignment="1">
      <alignment horizontal="right" vertical="center" wrapText="1"/>
    </xf>
    <xf numFmtId="3" fontId="0" fillId="0" borderId="0" xfId="0" applyNumberFormat="1" applyAlignment="1">
      <alignment horizontal="right"/>
    </xf>
    <xf numFmtId="3" fontId="0" fillId="2" borderId="3" xfId="0" applyNumberFormat="1" applyFill="1" applyBorder="1"/>
    <xf numFmtId="3" fontId="3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"/>
  <sheetViews>
    <sheetView tabSelected="1" zoomScale="85" zoomScaleNormal="85" workbookViewId="0">
      <selection activeCell="F18" sqref="F18"/>
    </sheetView>
  </sheetViews>
  <sheetFormatPr defaultRowHeight="18.75" x14ac:dyDescent="0.3"/>
  <cols>
    <col min="1" max="1" width="4.44140625" style="5" customWidth="1"/>
    <col min="2" max="2" width="28.33203125" customWidth="1"/>
    <col min="3" max="3" width="14.109375" customWidth="1"/>
    <col min="4" max="4" width="12.21875" customWidth="1"/>
    <col min="6" max="6" width="12.21875" style="9" customWidth="1"/>
    <col min="7" max="7" width="12.44140625" style="8" customWidth="1"/>
    <col min="8" max="8" width="12.44140625" style="17" customWidth="1"/>
    <col min="9" max="9" width="13.33203125" style="6" customWidth="1"/>
    <col min="10" max="10" width="11.33203125" style="6" customWidth="1"/>
    <col min="11" max="11" width="12.88671875" style="6" customWidth="1"/>
    <col min="12" max="12" width="13" style="6" customWidth="1"/>
    <col min="13" max="13" width="11.77734375" customWidth="1"/>
    <col min="14" max="14" width="11.33203125" bestFit="1" customWidth="1"/>
    <col min="15" max="15" width="10.33203125" bestFit="1" customWidth="1"/>
  </cols>
  <sheetData>
    <row r="2" spans="1:15" ht="41.2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7" t="s">
        <v>6</v>
      </c>
      <c r="G2" s="7" t="s">
        <v>5</v>
      </c>
      <c r="H2" s="11" t="s">
        <v>22</v>
      </c>
      <c r="I2" s="11" t="s">
        <v>29</v>
      </c>
      <c r="J2" s="11" t="s">
        <v>25</v>
      </c>
      <c r="K2" s="12" t="s">
        <v>30</v>
      </c>
      <c r="L2" s="22" t="s">
        <v>23</v>
      </c>
      <c r="M2" s="11" t="s">
        <v>24</v>
      </c>
    </row>
    <row r="3" spans="1:15" ht="25.5" customHeight="1" x14ac:dyDescent="0.3">
      <c r="A3" s="4">
        <v>1</v>
      </c>
      <c r="B3" s="2" t="s">
        <v>7</v>
      </c>
      <c r="C3" s="2" t="s">
        <v>8</v>
      </c>
      <c r="D3" s="2" t="s">
        <v>9</v>
      </c>
      <c r="E3" s="2" t="s">
        <v>10</v>
      </c>
      <c r="F3" s="10">
        <v>205000000</v>
      </c>
      <c r="G3" s="10">
        <v>18000000</v>
      </c>
      <c r="H3" s="16">
        <v>6000000</v>
      </c>
      <c r="I3" s="14">
        <f>F3+G3+H3</f>
        <v>229000000</v>
      </c>
      <c r="J3" s="15">
        <f t="shared" ref="J3:J11" si="0">L3*3%</f>
        <v>9150000</v>
      </c>
      <c r="K3" s="21">
        <f>J3+I3</f>
        <v>238150000</v>
      </c>
      <c r="L3" s="23">
        <v>305000000</v>
      </c>
      <c r="M3" s="13">
        <f>L3-K3</f>
        <v>66850000</v>
      </c>
      <c r="N3" s="6"/>
      <c r="O3" s="6"/>
    </row>
    <row r="4" spans="1:15" ht="25.5" customHeight="1" x14ac:dyDescent="0.3">
      <c r="A4" s="4">
        <v>2</v>
      </c>
      <c r="B4" s="2" t="s">
        <v>7</v>
      </c>
      <c r="C4" s="2" t="s">
        <v>11</v>
      </c>
      <c r="D4" s="2" t="s">
        <v>9</v>
      </c>
      <c r="E4" s="2" t="s">
        <v>10</v>
      </c>
      <c r="F4" s="10">
        <v>210000000</v>
      </c>
      <c r="G4" s="10">
        <v>18000000</v>
      </c>
      <c r="H4" s="16">
        <v>6000000</v>
      </c>
      <c r="I4" s="14">
        <f t="shared" ref="I4:I11" si="1">F4+G4+H4</f>
        <v>234000000</v>
      </c>
      <c r="J4" s="15">
        <f t="shared" si="0"/>
        <v>9300000</v>
      </c>
      <c r="K4" s="21">
        <f t="shared" ref="K4:K11" si="2">J4+I4</f>
        <v>243300000</v>
      </c>
      <c r="L4" s="23">
        <v>310000000</v>
      </c>
      <c r="M4" s="13">
        <f>L4-K4</f>
        <v>66700000</v>
      </c>
    </row>
    <row r="5" spans="1:15" ht="25.5" customHeight="1" x14ac:dyDescent="0.3">
      <c r="A5" s="4">
        <v>3</v>
      </c>
      <c r="B5" s="2" t="s">
        <v>7</v>
      </c>
      <c r="C5" s="2" t="s">
        <v>11</v>
      </c>
      <c r="D5" s="2" t="s">
        <v>9</v>
      </c>
      <c r="E5" s="2" t="s">
        <v>12</v>
      </c>
      <c r="F5" s="10">
        <v>220400000</v>
      </c>
      <c r="G5" s="10">
        <v>22000000</v>
      </c>
      <c r="H5" s="16">
        <v>6000000</v>
      </c>
      <c r="I5" s="14">
        <f t="shared" si="1"/>
        <v>248400000</v>
      </c>
      <c r="J5" s="15">
        <f t="shared" si="0"/>
        <v>9600000</v>
      </c>
      <c r="K5" s="21">
        <f t="shared" si="2"/>
        <v>258000000</v>
      </c>
      <c r="L5" s="23">
        <v>320000000</v>
      </c>
      <c r="M5" s="13">
        <f t="shared" ref="M5:M11" si="3">L5-K5</f>
        <v>62000000</v>
      </c>
    </row>
    <row r="6" spans="1:15" ht="25.5" customHeight="1" x14ac:dyDescent="0.3">
      <c r="A6" s="4">
        <v>4</v>
      </c>
      <c r="B6" s="2" t="s">
        <v>7</v>
      </c>
      <c r="C6" s="2" t="s">
        <v>13</v>
      </c>
      <c r="D6" s="2" t="s">
        <v>9</v>
      </c>
      <c r="E6" s="2" t="s">
        <v>12</v>
      </c>
      <c r="F6" s="10">
        <v>230400000</v>
      </c>
      <c r="G6" s="10">
        <v>22000000</v>
      </c>
      <c r="H6" s="16">
        <v>6000000</v>
      </c>
      <c r="I6" s="14">
        <f t="shared" si="1"/>
        <v>258400000</v>
      </c>
      <c r="J6" s="15">
        <f t="shared" si="0"/>
        <v>10050000</v>
      </c>
      <c r="K6" s="21">
        <f t="shared" si="2"/>
        <v>268450000</v>
      </c>
      <c r="L6" s="23">
        <v>335000000</v>
      </c>
      <c r="M6" s="13">
        <f t="shared" si="3"/>
        <v>66550000</v>
      </c>
    </row>
    <row r="7" spans="1:15" ht="25.5" customHeight="1" x14ac:dyDescent="0.3">
      <c r="A7" s="4">
        <v>5</v>
      </c>
      <c r="B7" s="2" t="s">
        <v>7</v>
      </c>
      <c r="C7" s="2" t="s">
        <v>11</v>
      </c>
      <c r="D7" s="2" t="s">
        <v>14</v>
      </c>
      <c r="E7" s="2" t="s">
        <v>12</v>
      </c>
      <c r="F7" s="10">
        <v>235400000</v>
      </c>
      <c r="G7" s="10">
        <v>22000000</v>
      </c>
      <c r="H7" s="16">
        <v>6000000</v>
      </c>
      <c r="I7" s="14">
        <f t="shared" si="1"/>
        <v>263400000</v>
      </c>
      <c r="J7" s="15">
        <f t="shared" si="0"/>
        <v>10200000</v>
      </c>
      <c r="K7" s="21">
        <f t="shared" si="2"/>
        <v>273600000</v>
      </c>
      <c r="L7" s="23">
        <v>340000000</v>
      </c>
      <c r="M7" s="13">
        <f t="shared" si="3"/>
        <v>66400000</v>
      </c>
    </row>
    <row r="8" spans="1:15" ht="25.5" customHeight="1" x14ac:dyDescent="0.3">
      <c r="A8" s="4">
        <v>6</v>
      </c>
      <c r="B8" s="1" t="s">
        <v>7</v>
      </c>
      <c r="C8" s="1" t="s">
        <v>13</v>
      </c>
      <c r="D8" s="1" t="s">
        <v>14</v>
      </c>
      <c r="E8" s="1" t="s">
        <v>12</v>
      </c>
      <c r="F8" s="10">
        <v>245400000</v>
      </c>
      <c r="G8" s="10">
        <v>22000000</v>
      </c>
      <c r="H8" s="16">
        <v>6000000</v>
      </c>
      <c r="I8" s="14">
        <f t="shared" si="1"/>
        <v>273400000</v>
      </c>
      <c r="J8" s="15">
        <f t="shared" si="0"/>
        <v>10650000</v>
      </c>
      <c r="K8" s="21">
        <f t="shared" si="2"/>
        <v>284050000</v>
      </c>
      <c r="L8" s="23">
        <v>355000000</v>
      </c>
      <c r="M8" s="13">
        <f t="shared" si="3"/>
        <v>70950000</v>
      </c>
    </row>
    <row r="9" spans="1:15" ht="25.5" customHeight="1" x14ac:dyDescent="0.3">
      <c r="A9" s="4">
        <v>7</v>
      </c>
      <c r="B9" s="2" t="s">
        <v>15</v>
      </c>
      <c r="C9" s="2" t="s">
        <v>16</v>
      </c>
      <c r="D9" s="2" t="s">
        <v>17</v>
      </c>
      <c r="E9" s="2" t="s">
        <v>18</v>
      </c>
      <c r="F9" s="10">
        <v>245600000</v>
      </c>
      <c r="G9" s="10">
        <v>17000000</v>
      </c>
      <c r="H9" s="16">
        <v>6000000</v>
      </c>
      <c r="I9" s="14">
        <f t="shared" si="1"/>
        <v>268600000</v>
      </c>
      <c r="J9" s="15">
        <f t="shared" si="0"/>
        <v>10500000</v>
      </c>
      <c r="K9" s="21">
        <f t="shared" si="2"/>
        <v>279100000</v>
      </c>
      <c r="L9" s="23">
        <v>350000000</v>
      </c>
      <c r="M9" s="13">
        <f t="shared" si="3"/>
        <v>70900000</v>
      </c>
    </row>
    <row r="10" spans="1:15" ht="25.5" customHeight="1" x14ac:dyDescent="0.3">
      <c r="A10" s="4">
        <v>8</v>
      </c>
      <c r="B10" s="2" t="s">
        <v>15</v>
      </c>
      <c r="C10" s="2" t="s">
        <v>19</v>
      </c>
      <c r="D10" s="2" t="s">
        <v>17</v>
      </c>
      <c r="E10" s="2" t="s">
        <v>18</v>
      </c>
      <c r="F10" s="10">
        <v>255600000</v>
      </c>
      <c r="G10" s="10">
        <v>17000000</v>
      </c>
      <c r="H10" s="16">
        <v>6000000</v>
      </c>
      <c r="I10" s="14">
        <f t="shared" si="1"/>
        <v>278600000</v>
      </c>
      <c r="J10" s="15">
        <f t="shared" si="0"/>
        <v>10950000</v>
      </c>
      <c r="K10" s="21">
        <f t="shared" si="2"/>
        <v>289550000</v>
      </c>
      <c r="L10" s="23">
        <v>365000000</v>
      </c>
      <c r="M10" s="13">
        <f t="shared" si="3"/>
        <v>75450000</v>
      </c>
    </row>
    <row r="11" spans="1:15" ht="25.5" customHeight="1" x14ac:dyDescent="0.3">
      <c r="A11" s="4">
        <v>9</v>
      </c>
      <c r="B11" s="2" t="s">
        <v>20</v>
      </c>
      <c r="C11" s="2" t="s">
        <v>21</v>
      </c>
      <c r="D11" s="2" t="s">
        <v>17</v>
      </c>
      <c r="E11" s="2" t="s">
        <v>18</v>
      </c>
      <c r="F11" s="10">
        <v>340600000</v>
      </c>
      <c r="G11" s="10">
        <v>32000000</v>
      </c>
      <c r="H11" s="16">
        <v>6000000</v>
      </c>
      <c r="I11" s="14">
        <f t="shared" si="1"/>
        <v>378600000</v>
      </c>
      <c r="J11" s="15">
        <f t="shared" si="0"/>
        <v>16500000</v>
      </c>
      <c r="K11" s="21">
        <f t="shared" si="2"/>
        <v>395100000</v>
      </c>
      <c r="L11" s="23">
        <v>550000000</v>
      </c>
      <c r="M11" s="13">
        <f t="shared" si="3"/>
        <v>154900000</v>
      </c>
    </row>
    <row r="13" spans="1:15" x14ac:dyDescent="0.3">
      <c r="B13" s="18" t="s">
        <v>26</v>
      </c>
      <c r="C13" s="19">
        <v>13000000</v>
      </c>
      <c r="D13" t="s">
        <v>28</v>
      </c>
    </row>
    <row r="14" spans="1:15" x14ac:dyDescent="0.3">
      <c r="B14" s="18" t="s">
        <v>27</v>
      </c>
      <c r="C14" s="20">
        <v>10000000</v>
      </c>
      <c r="D14" t="s">
        <v>28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Asus</cp:lastModifiedBy>
  <cp:lastPrinted>2024-06-26T09:35:02Z</cp:lastPrinted>
  <dcterms:created xsi:type="dcterms:W3CDTF">2024-04-22T01:34:00Z</dcterms:created>
  <dcterms:modified xsi:type="dcterms:W3CDTF">2024-09-30T05:28:54Z</dcterms:modified>
</cp:coreProperties>
</file>